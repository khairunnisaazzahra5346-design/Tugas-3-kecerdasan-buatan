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3d6ebc6da8fd2a/Documents/"/>
    </mc:Choice>
  </mc:AlternateContent>
  <xr:revisionPtr revIDLastSave="9" documentId="8_{B990DA6B-7B89-44E3-AC35-BB6E80680AC7}" xr6:coauthVersionLast="47" xr6:coauthVersionMax="47" xr10:uidLastSave="{AA70EBBE-0C90-470E-AE25-9B9AABE297E6}"/>
  <bookViews>
    <workbookView xWindow="-108" yWindow="-108" windowWidth="23256" windowHeight="13896" xr2:uid="{79046823-4071-4AA6-BA7C-15203728D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B19" i="1"/>
  <c r="B20" i="1"/>
  <c r="B18" i="1"/>
  <c r="B6" i="1"/>
  <c r="C2" i="1"/>
  <c r="B12" i="1"/>
  <c r="B11" i="1"/>
  <c r="B10" i="1"/>
  <c r="B9" i="1"/>
  <c r="B8" i="1"/>
  <c r="B7" i="1"/>
  <c r="C4" i="1"/>
  <c r="C3" i="1"/>
</calcChain>
</file>

<file path=xl/sharedStrings.xml><?xml version="1.0" encoding="utf-8"?>
<sst xmlns="http://schemas.openxmlformats.org/spreadsheetml/2006/main" count="19" uniqueCount="19">
  <si>
    <t>TOTAL LAPTOP</t>
  </si>
  <si>
    <t xml:space="preserve">LEMOT </t>
  </si>
  <si>
    <t>VIRUS</t>
  </si>
  <si>
    <t>NORMAL</t>
  </si>
  <si>
    <t>MB</t>
  </si>
  <si>
    <t>MD</t>
  </si>
  <si>
    <t>P(H1) - PELUANG LALOT</t>
  </si>
  <si>
    <t>P(H2)- PELUANG TIDAK LALOT</t>
  </si>
  <si>
    <t>P(E|H1) - VIRUS JIKA LALOT</t>
  </si>
  <si>
    <t>P(E|H2) - VIRUS JIKA TIDAK LALOT</t>
  </si>
  <si>
    <t>Pembilang: P(E|H1) * P(H1)</t>
  </si>
  <si>
    <t>TOTAL EVIDENCE P(E) / Penyebut</t>
  </si>
  <si>
    <t>Posterior P(H1|E) - Bayes</t>
  </si>
  <si>
    <t>Evidence</t>
  </si>
  <si>
    <t>Bintik</t>
  </si>
  <si>
    <t>Panas</t>
  </si>
  <si>
    <t xml:space="preserve">Hanya Bintik </t>
  </si>
  <si>
    <t xml:space="preserve"> Binrik + panas</t>
  </si>
  <si>
    <t>Gabungan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</si>
</sst>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CHART</a:t>
            </a:r>
            <a:r>
              <a:rPr lang="en-US" baseline="0"/>
              <a:t> KOMPUTER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Sheet1!$A$2:$A$4</c:f>
              <c:strCache>
                <c:ptCount val="3"/>
                <c:pt idx="0">
                  <c:v>LEMOT </c:v>
                </c:pt>
                <c:pt idx="1">
                  <c:v>VIRUS</c:v>
                </c:pt>
                <c:pt idx="2">
                  <c:v>NORMAL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3-4B81-8C1A-E86F1201153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Sheet1!$A$2:$A$4</c:f>
              <c:strCache>
                <c:ptCount val="3"/>
                <c:pt idx="0">
                  <c:v>LEMOT </c:v>
                </c:pt>
                <c:pt idx="1">
                  <c:v>VIRUS</c:v>
                </c:pt>
                <c:pt idx="2">
                  <c:v>NORMAL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63-4B81-8C1A-E86F120115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37667021046505"/>
          <c:y val="0.31783466033626206"/>
          <c:w val="0.23235446802603632"/>
          <c:h val="0.3564705236597467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222850</xdr:colOff>
      <xdr:row>0</xdr:row>
      <xdr:rowOff>0</xdr:rowOff>
    </xdr:from>
    <xdr:to>
      <xdr:col>8</xdr:col>
      <xdr:colOff>419448</xdr:colOff>
      <xdr:row>9</xdr:row>
      <xdr:rowOff>167780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DCF8CA-5E34-4183-9B08-7C123B057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5081-35E2-46D9-A9DF-95ACD11A4E0A}">
  <dimension ref="A1:F21"/>
  <sheetViews>
    <sheetView tabSelected="1" zoomScale="109" workbookViewId="0">
      <selection activeCell="F21" sqref="F21"/>
    </sheetView>
  </sheetViews>
  <sheetFormatPr defaultRowHeight="14.4" x14ac:dyDescent="0.3"/>
  <cols>
    <col min="1" max="1" width="27.5546875" customWidth="1"/>
    <col min="2" max="2" width="18.109375" customWidth="1"/>
  </cols>
  <sheetData>
    <row r="1" spans="1:6" x14ac:dyDescent="0.3">
      <c r="A1" s="2" t="s">
        <v>0</v>
      </c>
      <c r="B1">
        <v>40</v>
      </c>
    </row>
    <row r="2" spans="1:6" x14ac:dyDescent="0.3">
      <c r="A2" s="2" t="s">
        <v>1</v>
      </c>
      <c r="B2">
        <v>10</v>
      </c>
      <c r="C2">
        <f>B2/$B$1</f>
        <v>0.25</v>
      </c>
    </row>
    <row r="3" spans="1:6" x14ac:dyDescent="0.3">
      <c r="A3" s="2" t="s">
        <v>2</v>
      </c>
      <c r="B3">
        <v>8</v>
      </c>
      <c r="C3">
        <f>B3/$B$1</f>
        <v>0.2</v>
      </c>
    </row>
    <row r="4" spans="1:6" x14ac:dyDescent="0.3">
      <c r="A4" s="2" t="s">
        <v>3</v>
      </c>
      <c r="B4">
        <v>22</v>
      </c>
      <c r="C4">
        <f>B4/$B$1</f>
        <v>0.55000000000000004</v>
      </c>
    </row>
    <row r="5" spans="1:6" x14ac:dyDescent="0.3">
      <c r="F5" s="1"/>
    </row>
    <row r="6" spans="1:6" x14ac:dyDescent="0.3">
      <c r="A6" s="3" t="s">
        <v>6</v>
      </c>
      <c r="B6">
        <f>B2/B1</f>
        <v>0.25</v>
      </c>
    </row>
    <row r="7" spans="1:6" x14ac:dyDescent="0.3">
      <c r="A7" s="3" t="s">
        <v>7</v>
      </c>
      <c r="B7">
        <f>1-B6</f>
        <v>0.75</v>
      </c>
    </row>
    <row r="8" spans="1:6" x14ac:dyDescent="0.3">
      <c r="A8" s="3" t="s">
        <v>8</v>
      </c>
      <c r="B8">
        <f>B3/B2</f>
        <v>0.8</v>
      </c>
    </row>
    <row r="9" spans="1:6" x14ac:dyDescent="0.3">
      <c r="A9" s="3" t="s">
        <v>9</v>
      </c>
      <c r="B9">
        <f>0</f>
        <v>0</v>
      </c>
    </row>
    <row r="10" spans="1:6" x14ac:dyDescent="0.3">
      <c r="A10" s="3" t="s">
        <v>10</v>
      </c>
      <c r="B10">
        <f>B8*B6</f>
        <v>0.2</v>
      </c>
    </row>
    <row r="11" spans="1:6" x14ac:dyDescent="0.3">
      <c r="A11" s="3" t="s">
        <v>11</v>
      </c>
      <c r="B11">
        <f>(B8*B6)+(B9*B7)</f>
        <v>0.2</v>
      </c>
    </row>
    <row r="12" spans="1:6" x14ac:dyDescent="0.3">
      <c r="A12" s="3" t="s">
        <v>12</v>
      </c>
      <c r="B12">
        <f>B10/B11</f>
        <v>1</v>
      </c>
    </row>
    <row r="14" spans="1:6" x14ac:dyDescent="0.3">
      <c r="A14" s="2" t="s">
        <v>13</v>
      </c>
      <c r="B14" s="2" t="s">
        <v>4</v>
      </c>
      <c r="C14" s="2" t="s">
        <v>5</v>
      </c>
    </row>
    <row r="15" spans="1:6" x14ac:dyDescent="0.3">
      <c r="A15" t="s">
        <v>14</v>
      </c>
      <c r="B15">
        <v>0.8</v>
      </c>
      <c r="C15">
        <v>0.04</v>
      </c>
    </row>
    <row r="16" spans="1:6" x14ac:dyDescent="0.3">
      <c r="A16" t="s">
        <v>15</v>
      </c>
      <c r="B16">
        <v>0.7</v>
      </c>
      <c r="C16">
        <v>0.05</v>
      </c>
    </row>
    <row r="18" spans="1:2" x14ac:dyDescent="0.3">
      <c r="A18" t="s">
        <v>16</v>
      </c>
      <c r="B18">
        <f>B15-C15</f>
        <v>0.76</v>
      </c>
    </row>
    <row r="19" spans="1:2" x14ac:dyDescent="0.3">
      <c r="A19" t="s">
        <v>17</v>
      </c>
      <c r="B19">
        <f>B15+B16 * (1 - B15)</f>
        <v>0.94</v>
      </c>
    </row>
    <row r="20" spans="1:2" x14ac:dyDescent="0.3">
      <c r="B20">
        <f>C15+C16*(1-C15)</f>
        <v>8.7999999999999995E-2</v>
      </c>
    </row>
    <row r="21" spans="1:2" x14ac:dyDescent="0.3">
      <c r="A21" t="s">
        <v>18</v>
      </c>
      <c r="B21">
        <f>B19- B20</f>
        <v>0.85199999999999998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nnisa.haha22@gmail.com</dc:creator>
  <cp:lastModifiedBy>nnisa.haha22@gmail.com</cp:lastModifiedBy>
  <dcterms:created xsi:type="dcterms:W3CDTF">2026-09-23T01:49:13Z</dcterms:created>
  <dcterms:modified xsi:type="dcterms:W3CDTF">2026-09-23T02:53:25Z</dcterms:modified>
</cp:coreProperties>
</file>